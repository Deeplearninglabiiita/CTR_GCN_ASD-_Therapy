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OS-2" sheetId="1" r:id="rId4"/>
  </sheets>
  <definedNames/>
  <calcPr/>
  <extLst>
    <ext uri="GoogleSheetsCustomDataVersion2">
      <go:sheetsCustomData xmlns:go="http://customooxmlschemas.google.com/" r:id="rId5" roundtripDataChecksum="AghafIFw6DD6Wlo2Ja7pvPZ3usjZXyjCevyEtxW0+zs="/>
    </ext>
  </extLst>
</workbook>
</file>

<file path=xl/sharedStrings.xml><?xml version="1.0" encoding="utf-8"?>
<sst xmlns="http://schemas.openxmlformats.org/spreadsheetml/2006/main" count="98" uniqueCount="58">
  <si>
    <t>ID#</t>
  </si>
  <si>
    <t>Gender</t>
  </si>
  <si>
    <t>Chronological Age</t>
  </si>
  <si>
    <t>Module</t>
  </si>
  <si>
    <t xml:space="preserve">Social Affect Total </t>
  </si>
  <si>
    <t>Restricted and Repetitive Behavior (RRB) Total</t>
  </si>
  <si>
    <t xml:space="preserve">Overall Total </t>
  </si>
  <si>
    <t>ADOS-2 classification/Dx</t>
  </si>
  <si>
    <t>ADOS Comparison Score (1-10) &lt;5  not very autistic. ASD people usually fall 5-10. 8-10=Severe, 5-7=moderate, 1-4=mild</t>
  </si>
  <si>
    <t xml:space="preserve">Severity of Autism  </t>
  </si>
  <si>
    <t>M</t>
  </si>
  <si>
    <t>6Y,9M</t>
  </si>
  <si>
    <t>9y</t>
  </si>
  <si>
    <t>5Y,8M</t>
  </si>
  <si>
    <t>7Y,4M</t>
  </si>
  <si>
    <t>6Y,8M</t>
  </si>
  <si>
    <t>5y, 9m</t>
  </si>
  <si>
    <t>5y,9m</t>
  </si>
  <si>
    <t>6Y,6M</t>
  </si>
  <si>
    <t>F</t>
  </si>
  <si>
    <t>5Y,7M</t>
  </si>
  <si>
    <t>11Y, 3M</t>
  </si>
  <si>
    <t>4Y,11M</t>
  </si>
  <si>
    <t>12Y,7M</t>
  </si>
  <si>
    <t>6Y,2M</t>
  </si>
  <si>
    <t>5Y,4M</t>
  </si>
  <si>
    <t>5Y,2M</t>
  </si>
  <si>
    <t>8Y,9M</t>
  </si>
  <si>
    <t>12 y</t>
  </si>
  <si>
    <t>12Y,2M</t>
  </si>
  <si>
    <t>10Y,7M</t>
  </si>
  <si>
    <t>9Y,8M</t>
  </si>
  <si>
    <t>5Y, 1M</t>
  </si>
  <si>
    <t>7y, 4m</t>
  </si>
  <si>
    <t>10Y,9M</t>
  </si>
  <si>
    <t>10Y,8M</t>
  </si>
  <si>
    <t>10Y,3M</t>
  </si>
  <si>
    <t>8Y,0M</t>
  </si>
  <si>
    <t>8Y,6M</t>
  </si>
  <si>
    <t>10Y, 3M</t>
  </si>
  <si>
    <t>6Y,7M</t>
  </si>
  <si>
    <t>6Y,4M</t>
  </si>
  <si>
    <t>9Y,6M</t>
  </si>
  <si>
    <t>40023_R</t>
  </si>
  <si>
    <t>Diagnosis</t>
  </si>
  <si>
    <t>Comparison Score (1-10)</t>
  </si>
  <si>
    <t>Autism Severity</t>
  </si>
  <si>
    <t>1 - Preverbal/single words</t>
  </si>
  <si>
    <t>0 - Non-spectrum (not affected)</t>
  </si>
  <si>
    <t>Minimal to no evidence - 0 (1, 2)</t>
  </si>
  <si>
    <t>2 - Phrase speech</t>
  </si>
  <si>
    <t>1 - Autism spectrum disorder (mild)</t>
  </si>
  <si>
    <t>Low - 1 (3, 4)</t>
  </si>
  <si>
    <t>3 - Fluent speech (child/adolescent)</t>
  </si>
  <si>
    <t>2 - Autism (severe)</t>
  </si>
  <si>
    <t>Moderate - 2 (5, 6, 7)</t>
  </si>
  <si>
    <t>4 - Fluent speech (adolescent/adult)</t>
  </si>
  <si>
    <t>High - 3 (8, 9, 10)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</si>
</sst>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1"/>
    </xf>
    <xf borderId="1" fillId="2" fontId="1" numFmtId="0" xfId="0" applyAlignment="1" applyBorder="1" applyFill="1" applyFont="1">
      <alignment horizontal="left" shrinkToFit="0" wrapText="1"/>
    </xf>
    <xf borderId="1" fillId="3" fontId="1" numFmtId="0" xfId="0" applyAlignment="1" applyBorder="1" applyFill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/>
    </xf>
    <xf borderId="1" fillId="3" fontId="1" numFmtId="0" xfId="0" applyAlignment="1" applyBorder="1" applyFont="1">
      <alignment horizontal="left"/>
    </xf>
    <xf borderId="1" fillId="3" fontId="2" numFmtId="16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71"/>
    <col customWidth="1" min="3" max="3" width="19.71"/>
    <col customWidth="1" min="4" max="4" width="11.57"/>
    <col customWidth="1" min="5" max="5" width="14.71"/>
    <col customWidth="1" min="6" max="6" width="15.86"/>
    <col customWidth="1" min="7" max="7" width="11.71"/>
    <col customWidth="1" min="8" max="8" width="21.29"/>
    <col customWidth="1" min="9" max="10" width="26.71"/>
    <col customWidth="1" min="11" max="22" width="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4">
        <v>20274.0</v>
      </c>
      <c r="B2" s="4" t="s">
        <v>10</v>
      </c>
      <c r="C2" s="4" t="s">
        <v>11</v>
      </c>
      <c r="D2" s="4">
        <v>2.0</v>
      </c>
      <c r="E2" s="4">
        <v>18.0</v>
      </c>
      <c r="F2" s="4">
        <v>3.0</v>
      </c>
      <c r="G2" s="4">
        <v>21.0</v>
      </c>
      <c r="H2" s="4">
        <v>2.0</v>
      </c>
      <c r="I2" s="4">
        <v>9.0</v>
      </c>
      <c r="J2" s="4" t="str">
        <f>IF(I2&lt;3,"0", IF(I2&lt;5,"1", IF(I2&lt;8,"2", IF(I2&lt;11,"3"))))</f>
        <v>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4">
        <v>20313.0</v>
      </c>
      <c r="B3" s="4" t="s">
        <v>10</v>
      </c>
      <c r="C3" s="4" t="s">
        <v>12</v>
      </c>
      <c r="D3" s="4">
        <v>2.0</v>
      </c>
      <c r="E3" s="4">
        <v>19.0</v>
      </c>
      <c r="F3" s="4">
        <v>5.0</v>
      </c>
      <c r="G3" s="4">
        <v>24.0</v>
      </c>
      <c r="H3" s="4">
        <v>2.0</v>
      </c>
      <c r="I3" s="4">
        <v>10.0</v>
      </c>
      <c r="J3" s="4">
        <v>3.0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4">
        <v>20383.0</v>
      </c>
      <c r="B4" s="4" t="s">
        <v>10</v>
      </c>
      <c r="C4" s="4" t="s">
        <v>13</v>
      </c>
      <c r="D4" s="4">
        <v>3.0</v>
      </c>
      <c r="E4" s="4">
        <v>19.0</v>
      </c>
      <c r="F4" s="4">
        <v>3.0</v>
      </c>
      <c r="G4" s="4">
        <v>22.0</v>
      </c>
      <c r="H4" s="4">
        <v>2.0</v>
      </c>
      <c r="I4" s="4">
        <v>10.0</v>
      </c>
      <c r="J4" s="4" t="str">
        <f t="shared" ref="J4:J10" si="1">IF(I4&lt;3,"0", IF(I4&lt;5,"1", IF(I4&lt;8,"2", IF(I4&lt;11,"3"))))</f>
        <v>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5">
        <v>20453.0</v>
      </c>
      <c r="B5" s="4" t="s">
        <v>10</v>
      </c>
      <c r="C5" s="5" t="s">
        <v>14</v>
      </c>
      <c r="D5" s="5">
        <v>3.0</v>
      </c>
      <c r="E5" s="5">
        <v>5.0</v>
      </c>
      <c r="F5" s="5">
        <v>3.0</v>
      </c>
      <c r="G5" s="5">
        <v>8.0</v>
      </c>
      <c r="H5" s="5">
        <v>1.0</v>
      </c>
      <c r="I5" s="5">
        <v>8.0</v>
      </c>
      <c r="J5" s="5" t="str">
        <f t="shared" si="1"/>
        <v>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4">
        <v>20564.0</v>
      </c>
      <c r="B6" s="4" t="s">
        <v>10</v>
      </c>
      <c r="C6" s="4" t="s">
        <v>15</v>
      </c>
      <c r="D6" s="4">
        <v>2.0</v>
      </c>
      <c r="E6" s="4">
        <v>15.0</v>
      </c>
      <c r="F6" s="4">
        <v>4.0</v>
      </c>
      <c r="G6" s="4">
        <v>19.0</v>
      </c>
      <c r="H6" s="4">
        <v>2.0</v>
      </c>
      <c r="I6" s="4">
        <v>8.0</v>
      </c>
      <c r="J6" s="4" t="str">
        <f t="shared" si="1"/>
        <v>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4">
        <v>20583.0</v>
      </c>
      <c r="B7" s="4" t="s">
        <v>10</v>
      </c>
      <c r="C7" s="4" t="s">
        <v>16</v>
      </c>
      <c r="D7" s="4">
        <v>3.0</v>
      </c>
      <c r="E7" s="4">
        <v>11.0</v>
      </c>
      <c r="F7" s="4">
        <v>3.0</v>
      </c>
      <c r="G7" s="4">
        <v>14.0</v>
      </c>
      <c r="H7" s="4">
        <v>2.0</v>
      </c>
      <c r="I7" s="4">
        <v>8.0</v>
      </c>
      <c r="J7" s="4" t="str">
        <f t="shared" si="1"/>
        <v>3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4">
        <v>20594.0</v>
      </c>
      <c r="B8" s="4" t="s">
        <v>10</v>
      </c>
      <c r="C8" s="4" t="s">
        <v>17</v>
      </c>
      <c r="D8" s="4">
        <v>3.0</v>
      </c>
      <c r="E8" s="4">
        <v>11.0</v>
      </c>
      <c r="F8" s="4">
        <v>3.0</v>
      </c>
      <c r="G8" s="4">
        <v>14.0</v>
      </c>
      <c r="H8" s="4"/>
      <c r="I8" s="4">
        <v>8.0</v>
      </c>
      <c r="J8" s="4" t="str">
        <f t="shared" si="1"/>
        <v>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4">
        <v>20613.0</v>
      </c>
      <c r="B9" s="4" t="s">
        <v>10</v>
      </c>
      <c r="C9" s="4" t="s">
        <v>18</v>
      </c>
      <c r="D9" s="4">
        <v>1.0</v>
      </c>
      <c r="E9" s="4">
        <v>21.0</v>
      </c>
      <c r="F9" s="4">
        <v>4.0</v>
      </c>
      <c r="G9" s="4">
        <v>25.0</v>
      </c>
      <c r="H9" s="4">
        <v>2.0</v>
      </c>
      <c r="I9" s="4">
        <v>10.0</v>
      </c>
      <c r="J9" s="4" t="str">
        <f t="shared" si="1"/>
        <v>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4">
        <v>20626.0</v>
      </c>
      <c r="B10" s="4" t="s">
        <v>19</v>
      </c>
      <c r="C10" s="4" t="s">
        <v>20</v>
      </c>
      <c r="D10" s="4">
        <v>1.0</v>
      </c>
      <c r="E10" s="4">
        <v>21.0</v>
      </c>
      <c r="F10" s="4">
        <v>3.0</v>
      </c>
      <c r="G10" s="4">
        <v>24.0</v>
      </c>
      <c r="H10" s="4">
        <v>2.0</v>
      </c>
      <c r="I10" s="4">
        <v>10.0</v>
      </c>
      <c r="J10" s="4" t="str">
        <f t="shared" si="1"/>
        <v>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4">
        <v>40013.0</v>
      </c>
      <c r="B11" s="4" t="s">
        <v>10</v>
      </c>
      <c r="C11" s="4" t="s">
        <v>21</v>
      </c>
      <c r="D11" s="4">
        <v>1.0</v>
      </c>
      <c r="E11" s="4">
        <v>15.0</v>
      </c>
      <c r="F11" s="4">
        <v>14.0</v>
      </c>
      <c r="G11" s="4">
        <v>29.0</v>
      </c>
      <c r="H11" s="4">
        <v>2.0</v>
      </c>
      <c r="I11" s="4">
        <v>10.0</v>
      </c>
      <c r="J11" s="4">
        <v>3.0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4">
        <v>40074.0</v>
      </c>
      <c r="B12" s="4" t="s">
        <v>10</v>
      </c>
      <c r="C12" s="4" t="s">
        <v>22</v>
      </c>
      <c r="D12" s="4">
        <v>2.0</v>
      </c>
      <c r="E12" s="4">
        <v>13.0</v>
      </c>
      <c r="F12" s="4">
        <v>3.0</v>
      </c>
      <c r="G12" s="4">
        <v>16.0</v>
      </c>
      <c r="H12" s="4">
        <v>2.0</v>
      </c>
      <c r="I12" s="4">
        <v>7.0</v>
      </c>
      <c r="J12" s="4">
        <v>2.0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4">
        <v>40104.0</v>
      </c>
      <c r="B13" s="4" t="s">
        <v>10</v>
      </c>
      <c r="C13" s="4" t="s">
        <v>23</v>
      </c>
      <c r="D13" s="4">
        <v>1.0</v>
      </c>
      <c r="E13" s="4">
        <v>19.0</v>
      </c>
      <c r="F13" s="4">
        <v>6.0</v>
      </c>
      <c r="G13" s="4">
        <v>25.0</v>
      </c>
      <c r="H13" s="4">
        <v>2.0</v>
      </c>
      <c r="I13" s="4">
        <v>9.0</v>
      </c>
      <c r="J13" s="4" t="str">
        <f t="shared" ref="J13:J18" si="2">IF(I13&lt;3,"0", IF(I13&lt;5,"1", IF(I13&lt;8,"2", IF(I13&lt;11,"3"))))</f>
        <v>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4">
        <v>40143.0</v>
      </c>
      <c r="B14" s="4" t="s">
        <v>19</v>
      </c>
      <c r="C14" s="4" t="s">
        <v>18</v>
      </c>
      <c r="D14" s="4">
        <v>2.0</v>
      </c>
      <c r="E14" s="4">
        <v>17.0</v>
      </c>
      <c r="F14" s="4">
        <v>8.0</v>
      </c>
      <c r="G14" s="4">
        <v>25.0</v>
      </c>
      <c r="H14" s="4">
        <v>2.0</v>
      </c>
      <c r="I14" s="4">
        <v>10.0</v>
      </c>
      <c r="J14" s="4" t="str">
        <f t="shared" si="2"/>
        <v>3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4">
        <v>40173.0</v>
      </c>
      <c r="B15" s="4" t="s">
        <v>10</v>
      </c>
      <c r="C15" s="4" t="s">
        <v>24</v>
      </c>
      <c r="D15" s="4">
        <v>2.0</v>
      </c>
      <c r="E15" s="4">
        <v>17.0</v>
      </c>
      <c r="F15" s="4">
        <v>4.0</v>
      </c>
      <c r="G15" s="4">
        <v>21.0</v>
      </c>
      <c r="H15" s="4">
        <v>2.0</v>
      </c>
      <c r="I15" s="4">
        <v>9.0</v>
      </c>
      <c r="J15" s="4" t="str">
        <f t="shared" si="2"/>
        <v>3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4">
        <v>40323.0</v>
      </c>
      <c r="B16" s="4" t="s">
        <v>10</v>
      </c>
      <c r="C16" s="4" t="s">
        <v>25</v>
      </c>
      <c r="D16" s="4">
        <v>1.0</v>
      </c>
      <c r="E16" s="4">
        <v>27.0</v>
      </c>
      <c r="F16" s="4">
        <v>25.0</v>
      </c>
      <c r="G16" s="4">
        <v>52.0</v>
      </c>
      <c r="H16" s="4">
        <v>2.0</v>
      </c>
      <c r="I16" s="4">
        <v>10.0</v>
      </c>
      <c r="J16" s="4" t="str">
        <f t="shared" si="2"/>
        <v>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4">
        <v>40475.0</v>
      </c>
      <c r="B17" s="4" t="s">
        <v>10</v>
      </c>
      <c r="C17" s="4" t="s">
        <v>26</v>
      </c>
      <c r="D17" s="4">
        <v>3.0</v>
      </c>
      <c r="E17" s="4">
        <v>20.0</v>
      </c>
      <c r="F17" s="4">
        <v>7.0</v>
      </c>
      <c r="G17" s="4">
        <v>27.0</v>
      </c>
      <c r="H17" s="4">
        <v>2.0</v>
      </c>
      <c r="I17" s="4">
        <v>10.0</v>
      </c>
      <c r="J17" s="4" t="str">
        <f t="shared" si="2"/>
        <v>3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4">
        <v>40484.0</v>
      </c>
      <c r="B18" s="4" t="s">
        <v>10</v>
      </c>
      <c r="C18" s="4" t="s">
        <v>27</v>
      </c>
      <c r="D18" s="4">
        <v>3.0</v>
      </c>
      <c r="E18" s="4">
        <v>23.0</v>
      </c>
      <c r="F18" s="4">
        <v>8.0</v>
      </c>
      <c r="G18" s="4">
        <v>31.0</v>
      </c>
      <c r="H18" s="4">
        <v>2.0</v>
      </c>
      <c r="I18" s="4">
        <v>10.0</v>
      </c>
      <c r="J18" s="4" t="str">
        <f t="shared" si="2"/>
        <v>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4">
        <v>40493.0</v>
      </c>
      <c r="B19" s="4" t="s">
        <v>19</v>
      </c>
      <c r="C19" s="4" t="s">
        <v>28</v>
      </c>
      <c r="D19" s="4">
        <v>1.0</v>
      </c>
      <c r="E19" s="4">
        <v>23.0</v>
      </c>
      <c r="F19" s="4">
        <v>7.0</v>
      </c>
      <c r="G19" s="4">
        <v>30.0</v>
      </c>
      <c r="H19" s="4">
        <v>2.0</v>
      </c>
      <c r="I19" s="4">
        <v>10.0</v>
      </c>
      <c r="J19" s="4">
        <v>3.0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5.75" customHeight="1">
      <c r="A20" s="4">
        <v>40504.0</v>
      </c>
      <c r="B20" s="4" t="s">
        <v>10</v>
      </c>
      <c r="C20" s="4" t="s">
        <v>29</v>
      </c>
      <c r="D20" s="4">
        <v>2.0</v>
      </c>
      <c r="E20" s="4">
        <v>21.0</v>
      </c>
      <c r="F20" s="4">
        <v>8.0</v>
      </c>
      <c r="G20" s="4">
        <v>29.0</v>
      </c>
      <c r="H20" s="4">
        <v>2.0</v>
      </c>
      <c r="I20" s="4">
        <v>10.0</v>
      </c>
      <c r="J20" s="4" t="str">
        <f t="shared" ref="J20:J24" si="3">IF(I20&lt;3,"0", IF(I20&lt;5,"1", IF(I20&lt;8,"2", IF(I20&lt;11,"3"))))</f>
        <v>3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5.75" customHeight="1">
      <c r="A21" s="4">
        <v>40513.0</v>
      </c>
      <c r="B21" s="4" t="s">
        <v>10</v>
      </c>
      <c r="C21" s="4" t="s">
        <v>30</v>
      </c>
      <c r="D21" s="4">
        <v>2.0</v>
      </c>
      <c r="E21" s="4">
        <v>22.0</v>
      </c>
      <c r="F21" s="4">
        <v>6.0</v>
      </c>
      <c r="G21" s="4">
        <v>28.0</v>
      </c>
      <c r="H21" s="4">
        <v>2.0</v>
      </c>
      <c r="I21" s="4">
        <v>10.0</v>
      </c>
      <c r="J21" s="4" t="str">
        <f t="shared" si="3"/>
        <v>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75" customHeight="1">
      <c r="A22" s="4">
        <v>40533.0</v>
      </c>
      <c r="B22" s="4" t="s">
        <v>10</v>
      </c>
      <c r="C22" s="4" t="s">
        <v>31</v>
      </c>
      <c r="D22" s="4">
        <v>3.0</v>
      </c>
      <c r="E22" s="4">
        <v>9.0</v>
      </c>
      <c r="F22" s="4">
        <v>2.0</v>
      </c>
      <c r="G22" s="4">
        <v>11.0</v>
      </c>
      <c r="H22" s="4">
        <v>2.0</v>
      </c>
      <c r="I22" s="4">
        <v>7.0</v>
      </c>
      <c r="J22" s="4" t="str">
        <f t="shared" si="3"/>
        <v>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5.75" customHeight="1">
      <c r="A23" s="4">
        <v>40543.0</v>
      </c>
      <c r="B23" s="4" t="s">
        <v>10</v>
      </c>
      <c r="C23" s="4" t="s">
        <v>11</v>
      </c>
      <c r="D23" s="4">
        <v>3.0</v>
      </c>
      <c r="E23" s="4">
        <v>16.0</v>
      </c>
      <c r="F23" s="4">
        <v>5.0</v>
      </c>
      <c r="G23" s="4">
        <v>21.0</v>
      </c>
      <c r="H23" s="4">
        <v>2.0</v>
      </c>
      <c r="I23" s="4">
        <v>10.0</v>
      </c>
      <c r="J23" s="4" t="str">
        <f t="shared" si="3"/>
        <v>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>
      <c r="A24" s="4">
        <v>40555.0</v>
      </c>
      <c r="B24" s="4" t="s">
        <v>10</v>
      </c>
      <c r="C24" s="4" t="s">
        <v>32</v>
      </c>
      <c r="D24" s="4">
        <v>2.0</v>
      </c>
      <c r="E24" s="4">
        <v>20.0</v>
      </c>
      <c r="F24" s="4">
        <v>8.0</v>
      </c>
      <c r="G24" s="4">
        <v>28.0</v>
      </c>
      <c r="H24" s="4">
        <v>2.0</v>
      </c>
      <c r="I24" s="4">
        <v>10.0</v>
      </c>
      <c r="J24" s="4" t="str">
        <f t="shared" si="3"/>
        <v>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>
      <c r="A25" s="4">
        <v>40573.0</v>
      </c>
      <c r="B25" s="4" t="s">
        <v>10</v>
      </c>
      <c r="C25" s="4" t="s">
        <v>33</v>
      </c>
      <c r="D25" s="4">
        <v>3.0</v>
      </c>
      <c r="E25" s="4">
        <v>11.0</v>
      </c>
      <c r="F25" s="4">
        <v>1.0</v>
      </c>
      <c r="G25" s="4">
        <v>12.0</v>
      </c>
      <c r="H25" s="4">
        <v>2.0</v>
      </c>
      <c r="I25" s="4">
        <v>7.0</v>
      </c>
      <c r="J25" s="4">
        <v>2.0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>
      <c r="A26" s="4">
        <v>40614.0</v>
      </c>
      <c r="B26" s="4" t="s">
        <v>10</v>
      </c>
      <c r="C26" s="4" t="s">
        <v>34</v>
      </c>
      <c r="D26" s="4">
        <v>2.0</v>
      </c>
      <c r="E26" s="4">
        <v>14.0</v>
      </c>
      <c r="F26" s="4">
        <v>6.0</v>
      </c>
      <c r="G26" s="4">
        <v>20.0</v>
      </c>
      <c r="H26" s="4">
        <v>2.0</v>
      </c>
      <c r="I26" s="4">
        <v>8.0</v>
      </c>
      <c r="J26" s="4" t="str">
        <f t="shared" ref="J26:J31" si="4">IF(I26&lt;3,"0", IF(I26&lt;5,"1", IF(I26&lt;8,"2", IF(I26&lt;11,"3"))))</f>
        <v>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>
      <c r="A27" s="4">
        <v>40665.0</v>
      </c>
      <c r="B27" s="4" t="s">
        <v>10</v>
      </c>
      <c r="C27" s="4" t="s">
        <v>35</v>
      </c>
      <c r="D27" s="4">
        <v>2.0</v>
      </c>
      <c r="E27" s="4">
        <v>17.0</v>
      </c>
      <c r="F27" s="4">
        <v>6.0</v>
      </c>
      <c r="G27" s="4">
        <v>23.0</v>
      </c>
      <c r="H27" s="4">
        <v>2.0</v>
      </c>
      <c r="I27" s="4">
        <v>9.0</v>
      </c>
      <c r="J27" s="4" t="str">
        <f t="shared" si="4"/>
        <v>3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>
      <c r="A28" s="4">
        <v>40683.0</v>
      </c>
      <c r="B28" s="4" t="s">
        <v>10</v>
      </c>
      <c r="C28" s="4" t="s">
        <v>36</v>
      </c>
      <c r="D28" s="4">
        <v>3.0</v>
      </c>
      <c r="E28" s="4">
        <v>12.0</v>
      </c>
      <c r="F28" s="4">
        <v>2.0</v>
      </c>
      <c r="G28" s="4">
        <v>14.0</v>
      </c>
      <c r="H28" s="4">
        <v>2.0</v>
      </c>
      <c r="I28" s="4">
        <v>8.0</v>
      </c>
      <c r="J28" s="4" t="str">
        <f t="shared" si="4"/>
        <v>3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>
      <c r="A29" s="4">
        <v>40704.0</v>
      </c>
      <c r="B29" s="4" t="s">
        <v>10</v>
      </c>
      <c r="C29" s="4" t="s">
        <v>37</v>
      </c>
      <c r="D29" s="4">
        <v>1.0</v>
      </c>
      <c r="E29" s="4">
        <v>17.0</v>
      </c>
      <c r="F29" s="4">
        <v>14.0</v>
      </c>
      <c r="G29" s="4">
        <v>31.0</v>
      </c>
      <c r="H29" s="4">
        <v>2.0</v>
      </c>
      <c r="I29" s="4">
        <v>10.0</v>
      </c>
      <c r="J29" s="4" t="str">
        <f t="shared" si="4"/>
        <v>3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>
      <c r="A30" s="4">
        <v>40714.0</v>
      </c>
      <c r="B30" s="4" t="s">
        <v>10</v>
      </c>
      <c r="C30" s="4" t="s">
        <v>38</v>
      </c>
      <c r="D30" s="4">
        <v>1.0</v>
      </c>
      <c r="E30" s="4">
        <v>20.0</v>
      </c>
      <c r="F30" s="4">
        <v>5.0</v>
      </c>
      <c r="G30" s="4">
        <v>25.0</v>
      </c>
      <c r="H30" s="4">
        <v>2.0</v>
      </c>
      <c r="I30" s="4">
        <v>10.0</v>
      </c>
      <c r="J30" s="4" t="str">
        <f t="shared" si="4"/>
        <v>3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>
      <c r="A31" s="4">
        <v>40723.0</v>
      </c>
      <c r="B31" s="4" t="s">
        <v>10</v>
      </c>
      <c r="C31" s="4" t="s">
        <v>26</v>
      </c>
      <c r="D31" s="4">
        <v>2.0</v>
      </c>
      <c r="E31" s="4">
        <v>7.0</v>
      </c>
      <c r="F31" s="4">
        <v>4.0</v>
      </c>
      <c r="G31" s="4">
        <v>11.0</v>
      </c>
      <c r="H31" s="4">
        <v>2.0</v>
      </c>
      <c r="I31" s="4">
        <v>6.0</v>
      </c>
      <c r="J31" s="4" t="str">
        <f t="shared" si="4"/>
        <v>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4">
        <v>40743.0</v>
      </c>
      <c r="B32" s="4" t="s">
        <v>10</v>
      </c>
      <c r="C32" s="4" t="s">
        <v>39</v>
      </c>
      <c r="D32" s="4">
        <v>3.0</v>
      </c>
      <c r="E32" s="4">
        <v>12.0</v>
      </c>
      <c r="F32" s="4">
        <v>3.0</v>
      </c>
      <c r="G32" s="4">
        <v>15.0</v>
      </c>
      <c r="H32" s="4">
        <v>2.0</v>
      </c>
      <c r="I32" s="4">
        <v>9.0</v>
      </c>
      <c r="J32" s="4">
        <v>3.0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4">
        <v>40753.0</v>
      </c>
      <c r="B33" s="4" t="s">
        <v>10</v>
      </c>
      <c r="C33" s="4" t="s">
        <v>40</v>
      </c>
      <c r="D33" s="4">
        <v>1.0</v>
      </c>
      <c r="E33" s="4">
        <v>18.0</v>
      </c>
      <c r="F33" s="4">
        <v>2.0</v>
      </c>
      <c r="G33" s="4">
        <v>20.0</v>
      </c>
      <c r="H33" s="4">
        <v>2.0</v>
      </c>
      <c r="I33" s="4">
        <v>8.0</v>
      </c>
      <c r="J33" s="4" t="str">
        <f t="shared" ref="J33:J37" si="5">IF(I33&lt;3,"0", IF(I33&lt;5,"1", IF(I33&lt;8,"2", IF(I33&lt;11,"3"))))</f>
        <v>3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4">
        <v>40794.0</v>
      </c>
      <c r="B34" s="4" t="s">
        <v>19</v>
      </c>
      <c r="C34" s="4" t="s">
        <v>41</v>
      </c>
      <c r="D34" s="4">
        <v>1.0</v>
      </c>
      <c r="E34" s="4">
        <v>29.0</v>
      </c>
      <c r="F34" s="4">
        <v>23.0</v>
      </c>
      <c r="G34" s="4">
        <v>44.0</v>
      </c>
      <c r="H34" s="4">
        <v>2.0</v>
      </c>
      <c r="I34" s="4">
        <v>10.0</v>
      </c>
      <c r="J34" s="4" t="str">
        <f t="shared" si="5"/>
        <v>3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4">
        <v>40803.0</v>
      </c>
      <c r="B35" s="4" t="s">
        <v>10</v>
      </c>
      <c r="C35" s="4" t="s">
        <v>33</v>
      </c>
      <c r="D35" s="4">
        <v>3.0</v>
      </c>
      <c r="E35" s="4">
        <v>11.0</v>
      </c>
      <c r="F35" s="4">
        <v>1.0</v>
      </c>
      <c r="G35" s="4">
        <v>12.0</v>
      </c>
      <c r="H35" s="4">
        <v>2.0</v>
      </c>
      <c r="I35" s="4">
        <v>5.0</v>
      </c>
      <c r="J35" s="4" t="str">
        <f t="shared" si="5"/>
        <v>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6">
        <v>40023.0</v>
      </c>
      <c r="B36" s="4" t="s">
        <v>10</v>
      </c>
      <c r="C36" s="4" t="s">
        <v>42</v>
      </c>
      <c r="D36" s="4">
        <v>1.0</v>
      </c>
      <c r="E36" s="4">
        <v>18.0</v>
      </c>
      <c r="F36" s="4">
        <v>3.0</v>
      </c>
      <c r="G36" s="4">
        <v>21.0</v>
      </c>
      <c r="H36" s="4">
        <v>2.0</v>
      </c>
      <c r="I36" s="4">
        <v>7.0</v>
      </c>
      <c r="J36" s="4" t="str">
        <f t="shared" si="5"/>
        <v>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4" t="s">
        <v>43</v>
      </c>
      <c r="B37" s="4" t="s">
        <v>10</v>
      </c>
      <c r="C37" s="4" t="s">
        <v>42</v>
      </c>
      <c r="D37" s="4">
        <v>1.0</v>
      </c>
      <c r="E37" s="4">
        <v>18.0</v>
      </c>
      <c r="F37" s="4">
        <v>3.0</v>
      </c>
      <c r="G37" s="4">
        <v>21.0</v>
      </c>
      <c r="H37" s="4">
        <v>2.0</v>
      </c>
      <c r="I37" s="4">
        <v>7.0</v>
      </c>
      <c r="J37" s="4" t="str">
        <f t="shared" si="5"/>
        <v>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>
      <c r="A38" s="7"/>
      <c r="B38" s="7"/>
      <c r="C38" s="7"/>
      <c r="D38" s="8" t="s">
        <v>3</v>
      </c>
      <c r="E38" s="7"/>
      <c r="F38" s="7"/>
      <c r="G38" s="7"/>
      <c r="H38" s="8" t="s">
        <v>44</v>
      </c>
      <c r="I38" s="8" t="s">
        <v>45</v>
      </c>
      <c r="J38" s="8" t="s">
        <v>46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ht="15.75" customHeight="1">
      <c r="A39" s="7"/>
      <c r="B39" s="7"/>
      <c r="C39" s="7"/>
      <c r="D39" s="7" t="s">
        <v>47</v>
      </c>
      <c r="E39" s="7"/>
      <c r="F39" s="7"/>
      <c r="G39" s="7"/>
      <c r="H39" s="7" t="s">
        <v>48</v>
      </c>
      <c r="I39" s="7"/>
      <c r="J39" s="7" t="s">
        <v>49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75" customHeight="1">
      <c r="A40" s="7"/>
      <c r="B40" s="7"/>
      <c r="C40" s="7"/>
      <c r="D40" s="7" t="s">
        <v>50</v>
      </c>
      <c r="E40" s="7"/>
      <c r="F40" s="7"/>
      <c r="G40" s="7"/>
      <c r="H40" s="7" t="s">
        <v>51</v>
      </c>
      <c r="I40" s="7"/>
      <c r="J40" s="9" t="s">
        <v>52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75" customHeight="1">
      <c r="A41" s="7"/>
      <c r="B41" s="7"/>
      <c r="C41" s="7"/>
      <c r="D41" s="7" t="s">
        <v>53</v>
      </c>
      <c r="E41" s="7"/>
      <c r="F41" s="7"/>
      <c r="G41" s="7"/>
      <c r="H41" s="7" t="s">
        <v>54</v>
      </c>
      <c r="I41" s="7"/>
      <c r="J41" s="7" t="s">
        <v>55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75" customHeight="1">
      <c r="A42" s="7"/>
      <c r="B42" s="7"/>
      <c r="C42" s="7"/>
      <c r="D42" s="7" t="s">
        <v>56</v>
      </c>
      <c r="E42" s="7"/>
      <c r="F42" s="7"/>
      <c r="G42" s="7"/>
      <c r="H42" s="7"/>
      <c r="I42" s="7"/>
      <c r="J42" s="7" t="s">
        <v>57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